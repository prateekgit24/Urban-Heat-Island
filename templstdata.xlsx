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7\project\"/>
    </mc:Choice>
  </mc:AlternateContent>
  <xr:revisionPtr revIDLastSave="0" documentId="13_ncr:1_{CAE7ACE3-F85F-4DD7-A4FB-CF0563B9B5FD}" xr6:coauthVersionLast="47" xr6:coauthVersionMax="47" xr10:uidLastSave="{00000000-0000-0000-0000-000000000000}"/>
  <bookViews>
    <workbookView xWindow="-108" yWindow="-108" windowWidth="23256" windowHeight="12456" xr2:uid="{1A960791-C646-4461-9177-109B3BCDB8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J24" i="1"/>
  <c r="J22" i="1"/>
  <c r="J18" i="1"/>
  <c r="J16" i="1"/>
  <c r="J7" i="1"/>
  <c r="J9" i="1"/>
  <c r="J11" i="1"/>
  <c r="J5" i="1"/>
  <c r="J3" i="1"/>
</calcChain>
</file>

<file path=xl/sharedStrings.xml><?xml version="1.0" encoding="utf-8"?>
<sst xmlns="http://schemas.openxmlformats.org/spreadsheetml/2006/main" count="136" uniqueCount="43">
  <si>
    <t>2024 summer daytime</t>
  </si>
  <si>
    <t>id</t>
  </si>
  <si>
    <t>city</t>
  </si>
  <si>
    <t>ID_0</t>
  </si>
  <si>
    <t>ISO</t>
  </si>
  <si>
    <t>NAME_0</t>
  </si>
  <si>
    <t>_count</t>
  </si>
  <si>
    <t>_sum</t>
  </si>
  <si>
    <t>_mean</t>
  </si>
  <si>
    <t>_median</t>
  </si>
  <si>
    <t>_stdev</t>
  </si>
  <si>
    <t>_min</t>
  </si>
  <si>
    <t>_max</t>
  </si>
  <si>
    <t>_range</t>
  </si>
  <si>
    <t>_minority</t>
  </si>
  <si>
    <t>_majority</t>
  </si>
  <si>
    <t>_variety</t>
  </si>
  <si>
    <t>_variance</t>
  </si>
  <si>
    <t>chennaiint</t>
  </si>
  <si>
    <t>IND</t>
  </si>
  <si>
    <t>India</t>
  </si>
  <si>
    <t>Guwhati</t>
  </si>
  <si>
    <t>Tirupati</t>
  </si>
  <si>
    <t>Thiruvananthpuram</t>
  </si>
  <si>
    <t>Bengaluru</t>
  </si>
  <si>
    <t>surrounding</t>
  </si>
  <si>
    <t>type</t>
  </si>
  <si>
    <t>chennai</t>
  </si>
  <si>
    <t>difference</t>
  </si>
  <si>
    <t>2024 summer Night time</t>
  </si>
  <si>
    <t>surr</t>
  </si>
  <si>
    <t>_Surrdnightcount</t>
  </si>
  <si>
    <t>_Surrdnightsum</t>
  </si>
  <si>
    <t>_Surrdnightmean</t>
  </si>
  <si>
    <t>_Surrdnightmedian</t>
  </si>
  <si>
    <t>_Surrdnightstdev</t>
  </si>
  <si>
    <t>_Surrdnightmin</t>
  </si>
  <si>
    <t>_Surrdnightmax</t>
  </si>
  <si>
    <t>_Surrdnightrange</t>
  </si>
  <si>
    <t>_Surrdnightminority</t>
  </si>
  <si>
    <t>_Surrdnightmajority</t>
  </si>
  <si>
    <t>_Surrdnightvariety</t>
  </si>
  <si>
    <t>_Surrdnightvariance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</si>
</sst>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6EBD-C807-4F84-A278-FEAC6B9D0627}">
  <dimension ref="A1:S25"/>
  <sheetViews>
    <sheetView tabSelected="1" topLeftCell="A8" workbookViewId="0">
      <selection activeCell="O14" sqref="O14"/>
    </sheetView>
  </sheetViews>
  <sheetFormatPr defaultRowHeight="14.4" x14ac:dyDescent="0.3"/>
  <cols>
    <col min="3" max="3" width="17.5546875" customWidth="1"/>
    <col min="6" max="6" width="11.88671875" customWidth="1"/>
  </cols>
  <sheetData>
    <row r="1" spans="1:19" ht="27.6" customHeight="1" x14ac:dyDescent="0.6">
      <c r="C1" s="2" t="s">
        <v>0</v>
      </c>
      <c r="D1" s="1"/>
      <c r="E1" s="1"/>
      <c r="F1" s="1"/>
    </row>
    <row r="2" spans="1:19" x14ac:dyDescent="0.3">
      <c r="A2" t="s">
        <v>26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28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3">
      <c r="A3" t="s">
        <v>25</v>
      </c>
      <c r="B3">
        <v>1</v>
      </c>
      <c r="C3" t="s">
        <v>27</v>
      </c>
      <c r="D3">
        <v>105</v>
      </c>
      <c r="E3" t="s">
        <v>19</v>
      </c>
      <c r="F3" t="s">
        <v>20</v>
      </c>
      <c r="G3">
        <v>4323</v>
      </c>
      <c r="H3">
        <v>1324966.3593444801</v>
      </c>
      <c r="I3">
        <v>306.49233387566102</v>
      </c>
      <c r="J3" s="1">
        <f>(I4-I3)</f>
        <v>1.5440686462459894</v>
      </c>
      <c r="K3">
        <v>306.57998657226602</v>
      </c>
      <c r="L3">
        <v>1.3425750548283599</v>
      </c>
      <c r="M3">
        <v>301.39999389648398</v>
      </c>
      <c r="N3">
        <v>311.57998657226602</v>
      </c>
      <c r="O3">
        <v>10.1799926757812</v>
      </c>
      <c r="P3">
        <v>301.39999389648398</v>
      </c>
      <c r="Q3">
        <v>307.32000732421898</v>
      </c>
      <c r="R3">
        <v>362</v>
      </c>
      <c r="S3">
        <v>1.8025077778473899</v>
      </c>
    </row>
    <row r="4" spans="1:19" x14ac:dyDescent="0.3">
      <c r="A4" t="s">
        <v>2</v>
      </c>
      <c r="B4">
        <v>1</v>
      </c>
      <c r="C4" t="s">
        <v>27</v>
      </c>
      <c r="G4">
        <v>1073</v>
      </c>
      <c r="H4">
        <v>330523.05990600598</v>
      </c>
      <c r="I4">
        <v>308.03640252190701</v>
      </c>
      <c r="J4" s="1"/>
    </row>
    <row r="5" spans="1:19" x14ac:dyDescent="0.3">
      <c r="A5" t="s">
        <v>25</v>
      </c>
      <c r="B5">
        <v>2</v>
      </c>
      <c r="C5" t="s">
        <v>24</v>
      </c>
      <c r="D5">
        <v>105</v>
      </c>
      <c r="E5" t="s">
        <v>19</v>
      </c>
      <c r="F5" t="s">
        <v>20</v>
      </c>
      <c r="G5">
        <v>7339</v>
      </c>
      <c r="H5">
        <v>2272691.0201416002</v>
      </c>
      <c r="I5">
        <v>309.67311897283003</v>
      </c>
      <c r="J5" s="1">
        <f>(I6-I5)</f>
        <v>-1.919067873847041</v>
      </c>
      <c r="K5">
        <v>309.72000122070301</v>
      </c>
      <c r="L5">
        <v>1.1310673454543201</v>
      </c>
      <c r="M5">
        <v>303.54000854492199</v>
      </c>
      <c r="N5">
        <v>312.82000732421898</v>
      </c>
      <c r="O5">
        <v>9.2799987792968803</v>
      </c>
      <c r="P5">
        <v>303.54000854492199</v>
      </c>
      <c r="Q5">
        <v>309.94000244140602</v>
      </c>
      <c r="R5">
        <v>340</v>
      </c>
      <c r="S5">
        <v>1.27931333995309</v>
      </c>
    </row>
    <row r="6" spans="1:19" x14ac:dyDescent="0.3">
      <c r="A6" t="s">
        <v>2</v>
      </c>
      <c r="B6">
        <v>2</v>
      </c>
      <c r="C6" t="s">
        <v>24</v>
      </c>
      <c r="G6">
        <v>1254</v>
      </c>
      <c r="H6">
        <v>385923.580078125</v>
      </c>
      <c r="I6">
        <v>307.75405109898298</v>
      </c>
      <c r="J6" s="1"/>
    </row>
    <row r="7" spans="1:19" x14ac:dyDescent="0.3">
      <c r="A7" t="s">
        <v>25</v>
      </c>
      <c r="B7">
        <v>3</v>
      </c>
      <c r="C7" t="s">
        <v>23</v>
      </c>
      <c r="D7">
        <v>105</v>
      </c>
      <c r="E7" t="s">
        <v>19</v>
      </c>
      <c r="F7" t="s">
        <v>20</v>
      </c>
      <c r="G7">
        <v>2119</v>
      </c>
      <c r="H7">
        <v>646351.42028808605</v>
      </c>
      <c r="I7">
        <v>305.026625902825</v>
      </c>
      <c r="J7" s="1">
        <f t="shared" ref="J7" si="0">(I8-I7)</f>
        <v>2.1434909256449828</v>
      </c>
    </row>
    <row r="8" spans="1:19" x14ac:dyDescent="0.3">
      <c r="A8" t="s">
        <v>2</v>
      </c>
      <c r="B8">
        <v>3</v>
      </c>
      <c r="C8" t="s">
        <v>23</v>
      </c>
      <c r="G8">
        <v>85</v>
      </c>
      <c r="H8">
        <v>26109.4599304199</v>
      </c>
      <c r="I8">
        <v>307.17011682846999</v>
      </c>
      <c r="J8" s="1"/>
    </row>
    <row r="9" spans="1:19" x14ac:dyDescent="0.3">
      <c r="A9" t="s">
        <v>25</v>
      </c>
      <c r="B9">
        <v>4</v>
      </c>
      <c r="C9" t="s">
        <v>21</v>
      </c>
      <c r="D9">
        <v>105</v>
      </c>
      <c r="E9" t="s">
        <v>19</v>
      </c>
      <c r="F9" t="s">
        <v>20</v>
      </c>
      <c r="G9">
        <v>6241</v>
      </c>
      <c r="H9">
        <v>1873011.8203430199</v>
      </c>
      <c r="I9">
        <v>300.11405549479502</v>
      </c>
      <c r="J9" s="1">
        <f t="shared" ref="J9" si="1">(I10-I9)</f>
        <v>1.6566838368629533</v>
      </c>
    </row>
    <row r="10" spans="1:19" x14ac:dyDescent="0.3">
      <c r="A10" t="s">
        <v>2</v>
      </c>
      <c r="B10">
        <v>4</v>
      </c>
      <c r="C10" t="s">
        <v>21</v>
      </c>
      <c r="G10">
        <v>324</v>
      </c>
      <c r="H10">
        <v>97773.719543457002</v>
      </c>
      <c r="I10">
        <v>301.77073933165798</v>
      </c>
      <c r="J10" s="1"/>
    </row>
    <row r="11" spans="1:19" x14ac:dyDescent="0.3">
      <c r="A11" t="s">
        <v>25</v>
      </c>
      <c r="B11">
        <v>5</v>
      </c>
      <c r="C11" t="s">
        <v>22</v>
      </c>
      <c r="D11">
        <v>105</v>
      </c>
      <c r="E11" t="s">
        <v>19</v>
      </c>
      <c r="F11" t="s">
        <v>20</v>
      </c>
      <c r="G11">
        <v>6026</v>
      </c>
      <c r="H11">
        <v>1840995.7212219201</v>
      </c>
      <c r="I11">
        <v>305.50874895816901</v>
      </c>
      <c r="J11" s="1">
        <f t="shared" ref="J11" si="2">(I12-I11)</f>
        <v>2.9885269464359681</v>
      </c>
      <c r="K11">
        <v>305.60000610351602</v>
      </c>
      <c r="L11">
        <v>2.0839495110024502</v>
      </c>
      <c r="M11">
        <v>299.55999755859398</v>
      </c>
      <c r="N11">
        <v>310.04000854492199</v>
      </c>
      <c r="O11">
        <v>10.4800109863281</v>
      </c>
      <c r="P11">
        <v>299.55999755859398</v>
      </c>
      <c r="Q11">
        <v>306.22000122070301</v>
      </c>
      <c r="R11">
        <v>467</v>
      </c>
      <c r="S11">
        <v>4.3428455644073596</v>
      </c>
    </row>
    <row r="12" spans="1:19" x14ac:dyDescent="0.3">
      <c r="A12" t="s">
        <v>2</v>
      </c>
      <c r="B12">
        <v>5</v>
      </c>
      <c r="C12" t="s">
        <v>22</v>
      </c>
      <c r="G12">
        <v>323</v>
      </c>
      <c r="H12">
        <v>99644.6201171875</v>
      </c>
      <c r="I12">
        <v>308.49727590460498</v>
      </c>
      <c r="J12" s="1"/>
    </row>
    <row r="14" spans="1:19" ht="43.2" customHeight="1" x14ac:dyDescent="0.6">
      <c r="C14" s="2" t="s">
        <v>29</v>
      </c>
      <c r="D14" s="1"/>
      <c r="E14" s="1"/>
      <c r="F14" s="1"/>
    </row>
    <row r="15" spans="1:19" x14ac:dyDescent="0.3">
      <c r="A15" t="s">
        <v>26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28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</row>
    <row r="16" spans="1:19" x14ac:dyDescent="0.3">
      <c r="A16" t="s">
        <v>30</v>
      </c>
      <c r="B16">
        <v>1</v>
      </c>
      <c r="C16" t="s">
        <v>27</v>
      </c>
      <c r="D16">
        <v>105</v>
      </c>
      <c r="E16" t="s">
        <v>19</v>
      </c>
      <c r="F16" t="s">
        <v>20</v>
      </c>
      <c r="G16">
        <v>4323</v>
      </c>
      <c r="H16">
        <v>1287735.9996032701</v>
      </c>
      <c r="I16">
        <v>297.88017571206802</v>
      </c>
      <c r="J16" s="1">
        <f>(I17-I16)</f>
        <v>1.862993100138965</v>
      </c>
      <c r="K16">
        <v>297.79998779296898</v>
      </c>
      <c r="L16">
        <v>0.64634793211250197</v>
      </c>
      <c r="M16">
        <v>296.45999145507801</v>
      </c>
      <c r="N16">
        <v>300.72000122070301</v>
      </c>
      <c r="O16">
        <v>4.260009765625</v>
      </c>
      <c r="P16">
        <v>296.48001098632801</v>
      </c>
      <c r="Q16">
        <v>297.57998657226602</v>
      </c>
      <c r="R16">
        <v>182</v>
      </c>
      <c r="S16">
        <v>0.41776564934610699</v>
      </c>
    </row>
    <row r="17" spans="1:19" x14ac:dyDescent="0.3">
      <c r="A17" t="s">
        <v>2</v>
      </c>
      <c r="B17">
        <v>1</v>
      </c>
      <c r="C17" t="s">
        <v>27</v>
      </c>
      <c r="G17">
        <v>1073</v>
      </c>
      <c r="H17">
        <v>321624.42013549799</v>
      </c>
      <c r="I17">
        <v>299.74316881220699</v>
      </c>
      <c r="J17" s="1"/>
      <c r="K17">
        <v>299.79998779296898</v>
      </c>
      <c r="L17">
        <v>0.58214908861697501</v>
      </c>
      <c r="M17">
        <v>298.16000366210898</v>
      </c>
      <c r="N17">
        <v>300.85998535156199</v>
      </c>
      <c r="O17">
        <v>2.6999816894531201</v>
      </c>
      <c r="P17">
        <v>298.16000366210898</v>
      </c>
      <c r="Q17">
        <v>300.32000732421898</v>
      </c>
      <c r="R17">
        <v>123</v>
      </c>
      <c r="S17">
        <v>0.33889756137757499</v>
      </c>
    </row>
    <row r="18" spans="1:19" x14ac:dyDescent="0.3">
      <c r="A18" t="s">
        <v>30</v>
      </c>
      <c r="B18">
        <v>2</v>
      </c>
      <c r="C18" t="s">
        <v>24</v>
      </c>
      <c r="D18">
        <v>105</v>
      </c>
      <c r="E18" t="s">
        <v>19</v>
      </c>
      <c r="F18" t="s">
        <v>20</v>
      </c>
      <c r="G18">
        <v>7339</v>
      </c>
      <c r="H18">
        <v>2176673.4416503902</v>
      </c>
      <c r="I18">
        <v>296.589922557622</v>
      </c>
      <c r="J18" s="1">
        <f>(I19-I18)</f>
        <v>1.7380682039719773</v>
      </c>
      <c r="K18">
        <v>296.51998901367199</v>
      </c>
      <c r="L18">
        <v>0.93468472235829403</v>
      </c>
      <c r="M18">
        <v>294.35998535156199</v>
      </c>
      <c r="N18">
        <v>299.17999267578102</v>
      </c>
      <c r="O18">
        <v>4.82000732421875</v>
      </c>
      <c r="P18">
        <v>294.35998535156199</v>
      </c>
      <c r="Q18">
        <v>295.79998779296898</v>
      </c>
      <c r="R18">
        <v>224</v>
      </c>
      <c r="S18">
        <v>0.87363553021000195</v>
      </c>
    </row>
    <row r="19" spans="1:19" x14ac:dyDescent="0.3">
      <c r="A19" t="s">
        <v>2</v>
      </c>
      <c r="B19">
        <v>2</v>
      </c>
      <c r="C19" t="s">
        <v>24</v>
      </c>
      <c r="G19">
        <v>1254</v>
      </c>
      <c r="H19">
        <v>374103.300415039</v>
      </c>
      <c r="I19">
        <v>298.32799076159398</v>
      </c>
      <c r="J19" s="1"/>
      <c r="K19">
        <v>298.39999389648398</v>
      </c>
      <c r="L19">
        <v>1.06369700862323</v>
      </c>
      <c r="M19">
        <v>295.35998535156199</v>
      </c>
      <c r="N19">
        <v>300.70001220703102</v>
      </c>
      <c r="O19">
        <v>5.34002685546875</v>
      </c>
      <c r="P19">
        <v>295.35998535156199</v>
      </c>
      <c r="Q19">
        <v>298.83999633789102</v>
      </c>
      <c r="R19">
        <v>221</v>
      </c>
      <c r="S19">
        <v>1.13145132615402</v>
      </c>
    </row>
    <row r="20" spans="1:19" x14ac:dyDescent="0.3">
      <c r="A20" t="s">
        <v>30</v>
      </c>
      <c r="B20">
        <v>3</v>
      </c>
      <c r="C20" t="s">
        <v>23</v>
      </c>
      <c r="D20">
        <v>105</v>
      </c>
      <c r="E20" t="s">
        <v>19</v>
      </c>
      <c r="F20" t="s">
        <v>20</v>
      </c>
      <c r="G20">
        <v>2119</v>
      </c>
      <c r="H20">
        <v>631301.10055542004</v>
      </c>
      <c r="I20">
        <v>297.92406821869702</v>
      </c>
      <c r="J20" s="1">
        <f>(I21-I20)</f>
        <v>1.7029911792809571</v>
      </c>
      <c r="K20">
        <v>297.98001098632801</v>
      </c>
      <c r="L20">
        <v>0.81469071382387703</v>
      </c>
      <c r="M20">
        <v>293.11999511718801</v>
      </c>
      <c r="N20">
        <v>300.11999511718801</v>
      </c>
      <c r="O20">
        <v>7</v>
      </c>
      <c r="P20">
        <v>293.11999511718801</v>
      </c>
      <c r="Q20">
        <v>297.760009765625</v>
      </c>
      <c r="R20">
        <v>237</v>
      </c>
      <c r="S20">
        <v>0.66372095919085905</v>
      </c>
    </row>
    <row r="21" spans="1:19" x14ac:dyDescent="0.3">
      <c r="A21" t="s">
        <v>2</v>
      </c>
      <c r="B21">
        <v>3</v>
      </c>
      <c r="C21" t="s">
        <v>23</v>
      </c>
      <c r="G21">
        <v>85</v>
      </c>
      <c r="H21">
        <v>25468.3000488281</v>
      </c>
      <c r="I21">
        <v>299.62705939797797</v>
      </c>
      <c r="J21" s="1"/>
      <c r="K21">
        <v>299.760009765625</v>
      </c>
      <c r="L21">
        <v>0.52613288907907096</v>
      </c>
      <c r="M21">
        <v>298.42001342773398</v>
      </c>
      <c r="N21">
        <v>300.45999145507801</v>
      </c>
      <c r="O21">
        <v>2.03997802734375</v>
      </c>
      <c r="P21">
        <v>298.42001342773398</v>
      </c>
      <c r="Q21">
        <v>298.83999633789102</v>
      </c>
      <c r="R21">
        <v>52</v>
      </c>
      <c r="S21">
        <v>0.27681581697069002</v>
      </c>
    </row>
    <row r="22" spans="1:19" x14ac:dyDescent="0.3">
      <c r="A22" t="s">
        <v>30</v>
      </c>
      <c r="B22">
        <v>4</v>
      </c>
      <c r="C22" t="s">
        <v>21</v>
      </c>
      <c r="D22">
        <v>105</v>
      </c>
      <c r="E22" t="s">
        <v>19</v>
      </c>
      <c r="F22" t="s">
        <v>20</v>
      </c>
      <c r="G22">
        <v>6241</v>
      </c>
      <c r="H22">
        <v>1810742.5999755899</v>
      </c>
      <c r="I22">
        <v>290.136612718408</v>
      </c>
      <c r="J22" s="1">
        <f t="shared" ref="J22" si="3">(I23-I22)</f>
        <v>2.784190116185016</v>
      </c>
      <c r="K22">
        <v>290.17999267578102</v>
      </c>
      <c r="L22">
        <v>1.0332919148202</v>
      </c>
      <c r="M22">
        <v>287.42001342773398</v>
      </c>
      <c r="N22">
        <v>293.14001464843801</v>
      </c>
      <c r="O22">
        <v>5.7200012207031197</v>
      </c>
      <c r="P22">
        <v>287.42001342773398</v>
      </c>
      <c r="Q22">
        <v>290.17999267578102</v>
      </c>
      <c r="R22">
        <v>263</v>
      </c>
      <c r="S22">
        <v>1.0676921812328</v>
      </c>
    </row>
    <row r="23" spans="1:19" x14ac:dyDescent="0.3">
      <c r="A23" t="s">
        <v>2</v>
      </c>
      <c r="B23">
        <v>4</v>
      </c>
      <c r="C23" t="s">
        <v>21</v>
      </c>
      <c r="G23">
        <v>324</v>
      </c>
      <c r="H23">
        <v>94906.340118408203</v>
      </c>
      <c r="I23">
        <v>292.92080283459302</v>
      </c>
      <c r="J23" s="1"/>
      <c r="K23">
        <v>292.760009765625</v>
      </c>
      <c r="L23">
        <v>1.0747713042029901</v>
      </c>
      <c r="M23">
        <v>290.55999755859398</v>
      </c>
      <c r="N23">
        <v>295.14001464843801</v>
      </c>
      <c r="O23">
        <v>4.58001708984375</v>
      </c>
      <c r="P23">
        <v>290.55999755859398</v>
      </c>
      <c r="Q23">
        <v>293.39999389648398</v>
      </c>
      <c r="R23">
        <v>115</v>
      </c>
      <c r="S23">
        <v>1.1551333563382</v>
      </c>
    </row>
    <row r="24" spans="1:19" x14ac:dyDescent="0.3">
      <c r="A24" t="s">
        <v>30</v>
      </c>
      <c r="B24">
        <v>5</v>
      </c>
      <c r="C24" t="s">
        <v>22</v>
      </c>
      <c r="D24">
        <v>105</v>
      </c>
      <c r="E24" t="s">
        <v>19</v>
      </c>
      <c r="F24" t="s">
        <v>20</v>
      </c>
      <c r="G24">
        <v>6026</v>
      </c>
      <c r="H24">
        <v>1791237.5599060101</v>
      </c>
      <c r="I24">
        <v>297.25150346930099</v>
      </c>
      <c r="J24" s="1">
        <f t="shared" ref="J24" si="4">(I25-I24)</f>
        <v>1.6107873293940429</v>
      </c>
      <c r="K24">
        <v>297.39999389648398</v>
      </c>
      <c r="L24">
        <v>0.917110648844917</v>
      </c>
      <c r="M24">
        <v>293.92001342773398</v>
      </c>
      <c r="N24">
        <v>299.61999511718801</v>
      </c>
      <c r="O24">
        <v>5.6999816894531197</v>
      </c>
      <c r="P24">
        <v>293.92001342773398</v>
      </c>
      <c r="Q24">
        <v>297.64001464843801</v>
      </c>
      <c r="R24">
        <v>261</v>
      </c>
      <c r="S24">
        <v>0.84109194222474504</v>
      </c>
    </row>
    <row r="25" spans="1:19" x14ac:dyDescent="0.3">
      <c r="A25" t="s">
        <v>2</v>
      </c>
      <c r="B25">
        <v>5</v>
      </c>
      <c r="C25" t="s">
        <v>22</v>
      </c>
      <c r="G25">
        <v>323</v>
      </c>
      <c r="H25">
        <v>96532.519927978501</v>
      </c>
      <c r="I25">
        <v>298.86229079869503</v>
      </c>
      <c r="J25" s="1"/>
      <c r="K25">
        <v>298.760009765625</v>
      </c>
      <c r="L25">
        <v>0.662187980256155</v>
      </c>
      <c r="M25">
        <v>297.57998657226602</v>
      </c>
      <c r="N25">
        <v>301.14001464843801</v>
      </c>
      <c r="O25">
        <v>3.5600280761718799</v>
      </c>
      <c r="P25">
        <v>297.57998657226602</v>
      </c>
      <c r="Q25">
        <v>298.29998779296898</v>
      </c>
      <c r="R25">
        <v>107</v>
      </c>
      <c r="S25">
        <v>0.43849292119572503</v>
      </c>
    </row>
  </sheetData>
  <sortState xmlns:xlrd2="http://schemas.microsoft.com/office/spreadsheetml/2017/richdata2" ref="A16:S25">
    <sortCondition ref="B16:B25"/>
  </sortState>
  <mergeCells count="12">
    <mergeCell ref="C14:F14"/>
    <mergeCell ref="J16:J17"/>
    <mergeCell ref="J18:J19"/>
    <mergeCell ref="J20:J21"/>
    <mergeCell ref="J22:J23"/>
    <mergeCell ref="J24:J25"/>
    <mergeCell ref="J3:J4"/>
    <mergeCell ref="J5:J6"/>
    <mergeCell ref="J7:J8"/>
    <mergeCell ref="J9:J10"/>
    <mergeCell ref="J11:J12"/>
    <mergeCell ref="C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7EDB-3843-44C3-A40B-63C037B00BFB}">
  <dimension ref="A9:P19"/>
  <sheetViews>
    <sheetView workbookViewId="0">
      <selection activeCell="A9" sqref="A9:P19"/>
    </sheetView>
  </sheetViews>
  <sheetFormatPr defaultRowHeight="14.4" x14ac:dyDescent="0.3"/>
  <sheetData>
    <row r="9" spans="1:16" x14ac:dyDescent="0.3">
      <c r="A9" t="s">
        <v>26</v>
      </c>
      <c r="B9" t="s">
        <v>1</v>
      </c>
      <c r="C9" t="s">
        <v>2</v>
      </c>
      <c r="D9" t="s">
        <v>31</v>
      </c>
      <c r="E9" t="s">
        <v>32</v>
      </c>
      <c r="F9" t="s">
        <v>33</v>
      </c>
      <c r="G9" t="s">
        <v>28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</row>
    <row r="10" spans="1:16" x14ac:dyDescent="0.3">
      <c r="A10" t="s">
        <v>30</v>
      </c>
      <c r="B10">
        <v>1</v>
      </c>
      <c r="C10" t="s">
        <v>18</v>
      </c>
      <c r="D10">
        <v>4323</v>
      </c>
      <c r="E10">
        <v>1287735.9996032701</v>
      </c>
      <c r="F10">
        <v>297.88017571206802</v>
      </c>
      <c r="H10">
        <v>297.79998779296898</v>
      </c>
      <c r="I10">
        <v>0.64634793211250197</v>
      </c>
      <c r="J10">
        <v>296.45999145507801</v>
      </c>
      <c r="K10">
        <v>300.72000122070301</v>
      </c>
      <c r="L10">
        <v>4.260009765625</v>
      </c>
      <c r="M10">
        <v>296.48001098632801</v>
      </c>
      <c r="N10">
        <v>297.57998657226602</v>
      </c>
      <c r="O10">
        <v>182</v>
      </c>
      <c r="P10">
        <v>0.41776564934610699</v>
      </c>
    </row>
    <row r="11" spans="1:16" x14ac:dyDescent="0.3">
      <c r="A11" t="s">
        <v>30</v>
      </c>
      <c r="B11">
        <v>4</v>
      </c>
      <c r="C11" t="s">
        <v>21</v>
      </c>
      <c r="D11">
        <v>6241</v>
      </c>
      <c r="E11">
        <v>1810742.5999755899</v>
      </c>
      <c r="F11">
        <v>290.136612718408</v>
      </c>
      <c r="H11">
        <v>290.17999267578102</v>
      </c>
      <c r="I11">
        <v>1.0332919148202</v>
      </c>
      <c r="J11">
        <v>287.42001342773398</v>
      </c>
      <c r="K11">
        <v>293.14001464843801</v>
      </c>
      <c r="L11">
        <v>5.7200012207031197</v>
      </c>
      <c r="M11">
        <v>287.42001342773398</v>
      </c>
      <c r="N11">
        <v>290.17999267578102</v>
      </c>
      <c r="O11">
        <v>263</v>
      </c>
      <c r="P11">
        <v>1.0676921812328</v>
      </c>
    </row>
    <row r="12" spans="1:16" x14ac:dyDescent="0.3">
      <c r="A12" t="s">
        <v>30</v>
      </c>
      <c r="B12">
        <v>5</v>
      </c>
      <c r="C12" t="s">
        <v>22</v>
      </c>
      <c r="D12">
        <v>6026</v>
      </c>
      <c r="E12">
        <v>1791237.5599060101</v>
      </c>
      <c r="F12">
        <v>297.25150346930099</v>
      </c>
      <c r="H12">
        <v>297.39999389648398</v>
      </c>
      <c r="I12">
        <v>0.917110648844917</v>
      </c>
      <c r="J12">
        <v>293.92001342773398</v>
      </c>
      <c r="K12">
        <v>299.61999511718801</v>
      </c>
      <c r="L12">
        <v>5.6999816894531197</v>
      </c>
      <c r="M12">
        <v>293.92001342773398</v>
      </c>
      <c r="N12">
        <v>297.64001464843801</v>
      </c>
      <c r="O12">
        <v>261</v>
      </c>
      <c r="P12">
        <v>0.84109194222474504</v>
      </c>
    </row>
    <row r="13" spans="1:16" x14ac:dyDescent="0.3">
      <c r="A13" t="s">
        <v>30</v>
      </c>
      <c r="B13">
        <v>3</v>
      </c>
      <c r="C13" t="s">
        <v>23</v>
      </c>
      <c r="D13">
        <v>2119</v>
      </c>
      <c r="E13">
        <v>631301.10055542004</v>
      </c>
      <c r="F13">
        <v>297.92406821869702</v>
      </c>
      <c r="H13">
        <v>297.98001098632801</v>
      </c>
      <c r="I13">
        <v>0.81469071382387703</v>
      </c>
      <c r="J13">
        <v>293.11999511718801</v>
      </c>
      <c r="K13">
        <v>300.11999511718801</v>
      </c>
      <c r="L13">
        <v>7</v>
      </c>
      <c r="M13">
        <v>293.11999511718801</v>
      </c>
      <c r="N13">
        <v>297.760009765625</v>
      </c>
      <c r="O13">
        <v>237</v>
      </c>
      <c r="P13">
        <v>0.66372095919085905</v>
      </c>
    </row>
    <row r="14" spans="1:16" x14ac:dyDescent="0.3">
      <c r="A14" t="s">
        <v>30</v>
      </c>
      <c r="B14">
        <v>2</v>
      </c>
      <c r="C14" t="s">
        <v>24</v>
      </c>
      <c r="D14">
        <v>7339</v>
      </c>
      <c r="E14">
        <v>2176673.4416503902</v>
      </c>
      <c r="F14">
        <v>296.589922557622</v>
      </c>
      <c r="H14">
        <v>296.51998901367199</v>
      </c>
      <c r="I14">
        <v>0.93468472235829403</v>
      </c>
      <c r="J14">
        <v>294.35998535156199</v>
      </c>
      <c r="K14">
        <v>299.17999267578102</v>
      </c>
      <c r="L14">
        <v>4.82000732421875</v>
      </c>
      <c r="M14">
        <v>294.35998535156199</v>
      </c>
      <c r="N14">
        <v>295.79998779296898</v>
      </c>
      <c r="O14">
        <v>224</v>
      </c>
      <c r="P14">
        <v>0.87363553021000195</v>
      </c>
    </row>
    <row r="15" spans="1:16" x14ac:dyDescent="0.3">
      <c r="A15" t="s">
        <v>2</v>
      </c>
      <c r="B15">
        <v>1</v>
      </c>
      <c r="C15" t="s">
        <v>18</v>
      </c>
      <c r="D15">
        <v>1073</v>
      </c>
      <c r="E15">
        <v>321624.42013549799</v>
      </c>
      <c r="F15">
        <v>299.74316881220699</v>
      </c>
      <c r="H15">
        <v>299.79998779296898</v>
      </c>
      <c r="I15">
        <v>0.58214908861697501</v>
      </c>
      <c r="J15">
        <v>298.16000366210898</v>
      </c>
      <c r="K15">
        <v>300.85998535156199</v>
      </c>
      <c r="L15">
        <v>2.6999816894531201</v>
      </c>
      <c r="M15">
        <v>298.16000366210898</v>
      </c>
      <c r="N15">
        <v>300.32000732421898</v>
      </c>
      <c r="O15">
        <v>123</v>
      </c>
      <c r="P15">
        <v>0.33889756137757499</v>
      </c>
    </row>
    <row r="16" spans="1:16" x14ac:dyDescent="0.3">
      <c r="A16" t="s">
        <v>2</v>
      </c>
      <c r="B16">
        <v>4</v>
      </c>
      <c r="C16" t="s">
        <v>21</v>
      </c>
      <c r="D16">
        <v>324</v>
      </c>
      <c r="E16">
        <v>94906.340118408203</v>
      </c>
      <c r="F16">
        <v>292.92080283459302</v>
      </c>
      <c r="H16">
        <v>292.760009765625</v>
      </c>
      <c r="I16">
        <v>1.0747713042029901</v>
      </c>
      <c r="J16">
        <v>290.55999755859398</v>
      </c>
      <c r="K16">
        <v>295.14001464843801</v>
      </c>
      <c r="L16">
        <v>4.58001708984375</v>
      </c>
      <c r="M16">
        <v>290.55999755859398</v>
      </c>
      <c r="N16">
        <v>293.39999389648398</v>
      </c>
      <c r="O16">
        <v>115</v>
      </c>
      <c r="P16">
        <v>1.1551333563382</v>
      </c>
    </row>
    <row r="17" spans="1:16" x14ac:dyDescent="0.3">
      <c r="A17" t="s">
        <v>2</v>
      </c>
      <c r="B17">
        <v>5</v>
      </c>
      <c r="C17" t="s">
        <v>22</v>
      </c>
      <c r="D17">
        <v>323</v>
      </c>
      <c r="E17">
        <v>96532.519927978501</v>
      </c>
      <c r="F17">
        <v>298.86229079869503</v>
      </c>
      <c r="H17">
        <v>298.760009765625</v>
      </c>
      <c r="I17">
        <v>0.662187980256155</v>
      </c>
      <c r="J17">
        <v>297.57998657226602</v>
      </c>
      <c r="K17">
        <v>301.14001464843801</v>
      </c>
      <c r="L17">
        <v>3.5600280761718799</v>
      </c>
      <c r="M17">
        <v>297.57998657226602</v>
      </c>
      <c r="N17">
        <v>298.29998779296898</v>
      </c>
      <c r="O17">
        <v>107</v>
      </c>
      <c r="P17">
        <v>0.43849292119572503</v>
      </c>
    </row>
    <row r="18" spans="1:16" x14ac:dyDescent="0.3">
      <c r="A18" t="s">
        <v>2</v>
      </c>
      <c r="B18">
        <v>3</v>
      </c>
      <c r="C18" t="s">
        <v>23</v>
      </c>
      <c r="D18">
        <v>85</v>
      </c>
      <c r="E18">
        <v>25468.3000488281</v>
      </c>
      <c r="F18">
        <v>299.62705939797797</v>
      </c>
      <c r="H18">
        <v>299.760009765625</v>
      </c>
      <c r="I18">
        <v>0.52613288907907096</v>
      </c>
      <c r="J18">
        <v>298.42001342773398</v>
      </c>
      <c r="K18">
        <v>300.45999145507801</v>
      </c>
      <c r="L18">
        <v>2.03997802734375</v>
      </c>
      <c r="M18">
        <v>298.42001342773398</v>
      </c>
      <c r="N18">
        <v>298.83999633789102</v>
      </c>
      <c r="O18">
        <v>52</v>
      </c>
      <c r="P18">
        <v>0.27681581697069002</v>
      </c>
    </row>
    <row r="19" spans="1:16" x14ac:dyDescent="0.3">
      <c r="A19" t="s">
        <v>2</v>
      </c>
      <c r="B19">
        <v>2</v>
      </c>
      <c r="C19" t="s">
        <v>24</v>
      </c>
      <c r="D19">
        <v>1254</v>
      </c>
      <c r="E19">
        <v>374103.300415039</v>
      </c>
      <c r="F19">
        <v>298.32799076159398</v>
      </c>
      <c r="H19">
        <v>298.39999389648398</v>
      </c>
      <c r="I19">
        <v>1.06369700862323</v>
      </c>
      <c r="J19">
        <v>295.35998535156199</v>
      </c>
      <c r="K19">
        <v>300.70001220703102</v>
      </c>
      <c r="L19">
        <v>5.34002685546875</v>
      </c>
      <c r="M19">
        <v>295.35998535156199</v>
      </c>
      <c r="N19">
        <v>298.83999633789102</v>
      </c>
      <c r="O19">
        <v>221</v>
      </c>
      <c r="P19">
        <v>1.13145132615402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gaurav</dc:creator>
  <cp:lastModifiedBy>prateek gaurav</cp:lastModifiedBy>
  <dcterms:created xsi:type="dcterms:W3CDTF">2025-11-14T21:19:00Z</dcterms:created>
  <dcterms:modified xsi:type="dcterms:W3CDTF">2025-11-15T05:25:41Z</dcterms:modified>
</cp:coreProperties>
</file>